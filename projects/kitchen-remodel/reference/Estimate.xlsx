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b1f3d37a09cbacc/WeatherTek/JOBS-CURRENT/White Doe Inn/Kitchen/"/>
    </mc:Choice>
  </mc:AlternateContent>
  <xr:revisionPtr revIDLastSave="0" documentId="8_{0E897096-C4F4-4F93-94F2-43EDA60921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posal" sheetId="1" r:id="rId1"/>
  </sheets>
  <definedNames>
    <definedName name="ColumnTitle1">LineItems[[#Headers],[QUANTITY]]</definedName>
    <definedName name="ColumnTitleRegion1..B6.1">Proposal!$B$5</definedName>
    <definedName name="ColumnTitleRegion10..B24.1">Proposal!$B$26</definedName>
    <definedName name="ColumnTitleRegion11..B26.1">Proposal!$B$28</definedName>
    <definedName name="ColumnTitleRegion12..B28.1">Proposal!$B$30</definedName>
    <definedName name="ColumnTitleRegion13..B30.1">Proposal!$B$32</definedName>
    <definedName name="ColumnTitleRegion14..D33">Proposal!$D$44</definedName>
    <definedName name="ColumnTitleRegion2..B8.1">Proposal!$B$7</definedName>
    <definedName name="ColumnTitleRegion3..B10.1">Proposal!$B$10</definedName>
    <definedName name="ColumnTitleRegion4..B12.1">Proposal!$B$15</definedName>
    <definedName name="ColumnTitleRegion5..B14.1">Proposal!$B$14</definedName>
    <definedName name="ColumnTitleRegion6..B16.1">Proposal!$B$19</definedName>
    <definedName name="ColumnTitleRegion7..B18.1">Proposal!$B$20</definedName>
    <definedName name="ColumnTitleRegion8..B20.1">Proposal!$B$22</definedName>
    <definedName name="ColumnTitleRegion9..B22.1">Proposal!$B$24</definedName>
    <definedName name="Other">Proposal!$G$46</definedName>
    <definedName name="_xlnm.Print_Titles" localSheetId="0">Proposal!$B:$B,Proposal!$4:$4</definedName>
    <definedName name="RowTitleRegion1..G35">LineItems[[#Totals],[UNIT PRICE]]</definedName>
    <definedName name="Subtotal">LineItems[[#Totals],[AMOUNT]]</definedName>
    <definedName name="TaxRate">Proposal!$G$44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43" i="1" l="1"/>
  <c r="G45" i="1" s="1"/>
  <c r="G47" i="1" s="1"/>
</calcChain>
</file>

<file path=xl/sharedStrings.xml><?xml version="1.0" encoding="utf-8"?>
<sst xmlns="http://schemas.openxmlformats.org/spreadsheetml/2006/main" count="40" uniqueCount="40">
  <si>
    <t>QUANTITY</t>
  </si>
  <si>
    <t>DESCRIPTION</t>
  </si>
  <si>
    <t>UNIT PRICE</t>
  </si>
  <si>
    <t>AMOUNT</t>
  </si>
  <si>
    <t>Date</t>
  </si>
  <si>
    <t>Authorized Rep</t>
  </si>
  <si>
    <t xml:space="preserve">OTHER </t>
  </si>
  <si>
    <t xml:space="preserve">TOTAL </t>
  </si>
  <si>
    <t>Sign Below to Accept Quote:</t>
  </si>
  <si>
    <t>SUBTOTAL</t>
  </si>
  <si>
    <t>COMMERCIAL GC O&amp;P RATE</t>
  </si>
  <si>
    <t>TOTAL GC OVERHEAD &amp; PROFIT</t>
  </si>
  <si>
    <t>WASTEWATER APP FEE</t>
  </si>
  <si>
    <t>LIEN AGENT FEE</t>
  </si>
  <si>
    <t>FRAMERS (INCLUDES ALL ADD ONS AND CHANGE ORDERS)</t>
  </si>
  <si>
    <r>
      <rPr>
        <u/>
        <sz val="14"/>
        <color theme="3"/>
        <rFont val="Arial"/>
        <family val="2"/>
        <scheme val="minor"/>
      </rPr>
      <t>LODGING</t>
    </r>
    <r>
      <rPr>
        <b/>
        <u/>
        <sz val="14"/>
        <color theme="3"/>
        <rFont val="Arial"/>
        <family val="2"/>
        <scheme val="minor"/>
      </rPr>
      <t xml:space="preserve"> PAID TO DATE</t>
    </r>
  </si>
  <si>
    <r>
      <t xml:space="preserve">SUBCONTRACTOR INVOICES </t>
    </r>
    <r>
      <rPr>
        <b/>
        <u/>
        <sz val="14"/>
        <color theme="3"/>
        <rFont val="Arial"/>
        <family val="2"/>
        <scheme val="minor"/>
      </rPr>
      <t>PAID TO DATE</t>
    </r>
  </si>
  <si>
    <t>Building Permit Fee (Dare County Frisco, Amex, 10-14-22)</t>
  </si>
  <si>
    <t>AIRBNB FOR FRAMERS</t>
  </si>
  <si>
    <t>Estimated Construction Cost</t>
  </si>
  <si>
    <t>White Doe Inn Kitchen Remodel</t>
  </si>
  <si>
    <t xml:space="preserve">PROJECT MANAGEMENT </t>
  </si>
  <si>
    <t>Project Management (est. approx 2hr per day 5 day per week for 3 weeks)</t>
  </si>
  <si>
    <t>This is an estimate of anticipated construction cost and is not a fixed price quote.</t>
  </si>
  <si>
    <t>Cost is subject to change as work progresses.</t>
  </si>
  <si>
    <t>Electrical</t>
  </si>
  <si>
    <t>HVAC</t>
  </si>
  <si>
    <t>Interior Trim/Paint</t>
  </si>
  <si>
    <t>Dumpster/Waste</t>
  </si>
  <si>
    <t>Flooring Sub Quote</t>
  </si>
  <si>
    <t>Plumbing</t>
  </si>
  <si>
    <t>Framing Sub Quote (Incl. demo)</t>
  </si>
  <si>
    <t>Doors/Hardware</t>
  </si>
  <si>
    <t>Counters &amp; Cabinets (to be purchased directly by owner)</t>
  </si>
  <si>
    <t>Kellogg Quote (Lumber &amp; Drywall etc.)</t>
  </si>
  <si>
    <t>Inspections Permits (estimated cost incl. lien agent)</t>
  </si>
  <si>
    <t>Contingency/Misc.</t>
  </si>
  <si>
    <t>ADDITIONAL LABOR AND MATERIAL TO BE PAID</t>
  </si>
  <si>
    <t>CREDIT/ RETURNS</t>
  </si>
  <si>
    <t>Appliances/Equipment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</si>
</sst>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164" formatCode="[&lt;=9999999]###\-####;###\-###\-####"/>
  </numFmts>
  <fonts count="23" x14ac:knownFonts="1">
    <font>
      <sz val="11"/>
      <color theme="3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theme="3"/>
      <name val="Arial"/>
      <family val="2"/>
      <scheme val="minor"/>
    </font>
    <font>
      <sz val="25"/>
      <color theme="4"/>
      <name val="Arial"/>
      <family val="2"/>
      <scheme val="major"/>
    </font>
    <font>
      <sz val="11"/>
      <color theme="3" tint="0.24994659260841701"/>
      <name val="Arial"/>
      <family val="2"/>
      <scheme val="minor"/>
    </font>
    <font>
      <sz val="11"/>
      <color theme="3"/>
      <name val="Arial"/>
      <family val="2"/>
      <scheme val="minor"/>
    </font>
    <font>
      <b/>
      <i/>
      <sz val="11"/>
      <color theme="3"/>
      <name val="Arial"/>
      <family val="2"/>
      <scheme val="minor"/>
    </font>
    <font>
      <b/>
      <sz val="11"/>
      <color theme="3" tint="0.24994659260841701"/>
      <name val="Arial"/>
      <family val="2"/>
      <scheme val="minor"/>
    </font>
    <font>
      <sz val="11"/>
      <color theme="4" tint="-0.24994659260841701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FF0000"/>
      <name val="Arial"/>
      <family val="2"/>
      <scheme val="minor"/>
    </font>
    <font>
      <sz val="25"/>
      <color theme="1"/>
      <name val="Arial"/>
      <family val="2"/>
      <scheme val="major"/>
    </font>
    <font>
      <sz val="8"/>
      <color theme="3" tint="0.24994659260841701"/>
      <name val="Arial"/>
      <family val="2"/>
      <scheme val="minor"/>
    </font>
    <font>
      <sz val="8"/>
      <color theme="3"/>
      <name val="Arial"/>
      <family val="2"/>
      <scheme val="minor"/>
    </font>
    <font>
      <u/>
      <sz val="14"/>
      <color theme="3"/>
      <name val="Arial"/>
      <family val="2"/>
      <scheme val="minor"/>
    </font>
    <font>
      <b/>
      <u/>
      <sz val="14"/>
      <color theme="3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  <scheme val="minor"/>
    </font>
    <font>
      <sz val="10"/>
      <color rgb="FFFF0000"/>
      <name val="Arial"/>
      <family val="2"/>
      <scheme val="minor"/>
    </font>
    <font>
      <b/>
      <u/>
      <sz val="11"/>
      <color theme="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lightUp">
        <fgColor theme="3" tint="0.89996032593768116"/>
        <bgColor auto="1"/>
      </patternFill>
    </fill>
    <fill>
      <patternFill patternType="lightUp">
        <fgColor theme="3" tint="0.89996032593768116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/>
      <top/>
      <bottom style="hair">
        <color theme="3" tint="0.24994659260841701"/>
      </bottom>
      <diagonal/>
    </border>
    <border>
      <left/>
      <right/>
      <top style="thin">
        <color theme="3" tint="0.749961851863155"/>
      </top>
      <bottom/>
      <diagonal/>
    </border>
    <border>
      <left/>
      <right/>
      <top style="hair">
        <color theme="3" tint="0.24994659260841701"/>
      </top>
      <bottom/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</borders>
  <cellStyleXfs count="22">
    <xf numFmtId="0" fontId="0" fillId="0" borderId="0">
      <alignment horizontal="left" vertical="center" wrapText="1" indent="1"/>
    </xf>
    <xf numFmtId="0" fontId="6" fillId="0" borderId="0"/>
    <xf numFmtId="164" fontId="8" fillId="0" borderId="0" applyFont="0" applyFill="0" applyBorder="0">
      <alignment horizontal="left" vertical="top" wrapText="1"/>
    </xf>
    <xf numFmtId="0" fontId="10" fillId="0" borderId="0" applyNumberFormat="0" applyFill="0" applyProtection="0">
      <alignment horizontal="left" vertical="center" indent="1"/>
    </xf>
    <xf numFmtId="0" fontId="7" fillId="0" borderId="5">
      <alignment horizontal="left" vertical="top" wrapText="1"/>
    </xf>
    <xf numFmtId="0" fontId="7" fillId="0" borderId="0" applyNumberFormat="0" applyFill="0" applyBorder="0" applyProtection="0">
      <alignment horizontal="left" vertical="top" wrapText="1"/>
    </xf>
    <xf numFmtId="0" fontId="7" fillId="0" borderId="0" applyNumberFormat="0" applyFill="0" applyBorder="0" applyProtection="0">
      <alignment horizontal="left" vertical="top" wrapText="1"/>
    </xf>
    <xf numFmtId="1" fontId="5" fillId="0" borderId="0" applyFont="0" applyFill="0" applyBorder="0" applyProtection="0">
      <alignment horizontal="center" vertical="center"/>
    </xf>
    <xf numFmtId="7" fontId="5" fillId="0" borderId="0" applyFont="0" applyFill="0" applyBorder="0" applyProtection="0">
      <alignment horizontal="right" vertical="center" indent="1"/>
    </xf>
    <xf numFmtId="7" fontId="12" fillId="3" borderId="0" applyBorder="0" applyProtection="0">
      <alignment horizontal="right" vertical="center" indent="1"/>
    </xf>
    <xf numFmtId="10" fontId="12" fillId="3" borderId="0" applyBorder="0" applyProtection="0">
      <alignment horizontal="right" vertical="center" indent="1"/>
    </xf>
    <xf numFmtId="0" fontId="7" fillId="0" borderId="4">
      <alignment vertical="top" wrapText="1"/>
    </xf>
    <xf numFmtId="0" fontId="11" fillId="0" borderId="0">
      <alignment horizontal="left" vertical="center"/>
    </xf>
    <xf numFmtId="0" fontId="7" fillId="0" borderId="0">
      <alignment horizontal="left" vertical="top" wrapText="1"/>
    </xf>
    <xf numFmtId="0" fontId="8" fillId="0" borderId="0" applyNumberFormat="0" applyFill="0" applyBorder="0" applyProtection="0">
      <alignment horizontal="left" vertical="center"/>
    </xf>
    <xf numFmtId="0" fontId="9" fillId="2" borderId="0" applyNumberFormat="0" applyProtection="0">
      <alignment horizontal="left" vertical="center" wrapText="1"/>
    </xf>
    <xf numFmtId="0" fontId="8" fillId="0" borderId="0" applyNumberFormat="0" applyFill="0" applyBorder="0" applyProtection="0">
      <alignment horizontal="left" vertical="top" wrapText="1"/>
    </xf>
    <xf numFmtId="14" fontId="8" fillId="0" borderId="0" applyFont="0" applyFill="0" applyBorder="0">
      <alignment horizontal="left" vertical="top"/>
    </xf>
    <xf numFmtId="0" fontId="8" fillId="0" borderId="0" applyNumberFormat="0" applyFont="0" applyFill="0" applyBorder="0">
      <alignment horizontal="center" vertical="center"/>
    </xf>
    <xf numFmtId="14" fontId="8" fillId="0" borderId="0" applyFont="0" applyFill="0" applyBorder="0">
      <alignment horizontal="left" vertical="center"/>
    </xf>
    <xf numFmtId="0" fontId="8" fillId="0" borderId="1" applyNumberFormat="0" applyFill="0" applyAlignment="0" applyProtection="0">
      <alignment vertical="center"/>
    </xf>
    <xf numFmtId="0" fontId="8" fillId="0" borderId="2" applyNumberFormat="0" applyFont="0" applyFill="0" applyAlignment="0">
      <alignment horizontal="left" vertical="center"/>
    </xf>
  </cellStyleXfs>
  <cellXfs count="54">
    <xf numFmtId="0" fontId="0" fillId="0" borderId="0" xfId="0">
      <alignment horizontal="left" vertical="center" wrapText="1" indent="1"/>
    </xf>
    <xf numFmtId="0" fontId="11" fillId="0" borderId="0" xfId="12">
      <alignment horizontal="left" vertical="center"/>
    </xf>
    <xf numFmtId="0" fontId="7" fillId="0" borderId="0" xfId="13">
      <alignment horizontal="left" vertical="top" wrapText="1"/>
    </xf>
    <xf numFmtId="164" fontId="7" fillId="0" borderId="0" xfId="2" applyFont="1">
      <alignment horizontal="left" vertical="top" wrapText="1"/>
    </xf>
    <xf numFmtId="0" fontId="9" fillId="2" borderId="0" xfId="15">
      <alignment horizontal="left" vertical="center" wrapText="1"/>
    </xf>
    <xf numFmtId="7" fontId="0" fillId="0" borderId="0" xfId="8" applyFont="1">
      <alignment horizontal="right" vertical="center" indent="1"/>
    </xf>
    <xf numFmtId="1" fontId="0" fillId="0" borderId="0" xfId="7" applyFont="1">
      <alignment horizontal="center" vertical="center"/>
    </xf>
    <xf numFmtId="14" fontId="7" fillId="0" borderId="2" xfId="17" applyFont="1" applyBorder="1">
      <alignment horizontal="left" vertical="top"/>
    </xf>
    <xf numFmtId="0" fontId="11" fillId="0" borderId="0" xfId="12" applyAlignment="1">
      <alignment vertical="center"/>
    </xf>
    <xf numFmtId="0" fontId="7" fillId="0" borderId="5" xfId="4">
      <alignment horizontal="left" vertical="top" wrapText="1"/>
    </xf>
    <xf numFmtId="14" fontId="10" fillId="0" borderId="3" xfId="17" applyFont="1" applyBorder="1">
      <alignment horizontal="left" vertical="top"/>
    </xf>
    <xf numFmtId="0" fontId="8" fillId="0" borderId="1" xfId="20" applyAlignment="1">
      <alignment horizontal="left" vertical="center" wrapText="1" indent="1"/>
    </xf>
    <xf numFmtId="1" fontId="0" fillId="0" borderId="0" xfId="7" applyFont="1" applyFill="1" applyBorder="1">
      <alignment horizontal="center" vertical="center"/>
    </xf>
    <xf numFmtId="7" fontId="0" fillId="0" borderId="0" xfId="8" applyFont="1" applyFill="1" applyBorder="1">
      <alignment horizontal="right" vertical="center" indent="1"/>
    </xf>
    <xf numFmtId="0" fontId="0" fillId="0" borderId="0" xfId="0" applyAlignment="1">
      <alignment horizontal="center" vertical="center"/>
    </xf>
    <xf numFmtId="0" fontId="0" fillId="0" borderId="2" xfId="21" applyFont="1" applyAlignment="1">
      <alignment horizontal="left" vertical="center" wrapText="1" indent="1"/>
    </xf>
    <xf numFmtId="0" fontId="0" fillId="0" borderId="2" xfId="0" applyBorder="1">
      <alignment horizontal="left" vertical="center" wrapText="1" indent="1"/>
    </xf>
    <xf numFmtId="14" fontId="9" fillId="2" borderId="0" xfId="19" applyFont="1" applyFill="1">
      <alignment horizontal="left" vertical="center"/>
    </xf>
    <xf numFmtId="10" fontId="12" fillId="3" borderId="2" xfId="10" applyBorder="1">
      <alignment horizontal="right" vertical="center" indent="1"/>
    </xf>
    <xf numFmtId="7" fontId="12" fillId="3" borderId="2" xfId="9" applyBorder="1">
      <alignment horizontal="right" vertical="center" indent="1"/>
    </xf>
    <xf numFmtId="7" fontId="12" fillId="3" borderId="1" xfId="9" applyBorder="1">
      <alignment horizontal="right" vertical="center" indent="1"/>
    </xf>
    <xf numFmtId="164" fontId="7" fillId="0" borderId="4" xfId="2" applyFont="1" applyBorder="1">
      <alignment horizontal="left" vertical="top" wrapText="1"/>
    </xf>
    <xf numFmtId="0" fontId="15" fillId="0" borderId="4" xfId="11" applyFont="1">
      <alignment vertical="top" wrapText="1"/>
    </xf>
    <xf numFmtId="0" fontId="16" fillId="0" borderId="2" xfId="21" applyFont="1" applyAlignment="1">
      <alignment horizontal="left" vertical="center" wrapText="1" indent="1"/>
    </xf>
    <xf numFmtId="0" fontId="4" fillId="4" borderId="0" xfId="18" applyFont="1" applyFill="1" applyBorder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7" fontId="0" fillId="0" borderId="0" xfId="0" applyNumberFormat="1" applyAlignment="1">
      <alignment horizontal="right" vertical="center" indent="1"/>
    </xf>
    <xf numFmtId="0" fontId="5" fillId="0" borderId="0" xfId="0" applyFont="1">
      <alignment horizontal="left" vertical="center" wrapText="1" indent="1"/>
    </xf>
    <xf numFmtId="7" fontId="13" fillId="0" borderId="0" xfId="8" applyFont="1">
      <alignment horizontal="right" vertical="center" indent="1"/>
    </xf>
    <xf numFmtId="0" fontId="13" fillId="0" borderId="0" xfId="0" applyFont="1">
      <alignment horizontal="left" vertical="center" wrapText="1" indent="1"/>
    </xf>
    <xf numFmtId="0" fontId="17" fillId="0" borderId="0" xfId="0" applyFont="1">
      <alignment horizontal="left" vertical="center" wrapText="1" indent="1"/>
    </xf>
    <xf numFmtId="0" fontId="3" fillId="0" borderId="0" xfId="0" applyFont="1">
      <alignment horizontal="left" vertical="center" wrapText="1" indent="1"/>
    </xf>
    <xf numFmtId="1" fontId="3" fillId="0" borderId="0" xfId="7" applyFont="1" applyFill="1" applyBorder="1">
      <alignment horizontal="center" vertical="center"/>
    </xf>
    <xf numFmtId="1" fontId="13" fillId="0" borderId="0" xfId="7" applyFont="1" applyFill="1" applyBorder="1">
      <alignment horizontal="center" vertical="center"/>
    </xf>
    <xf numFmtId="0" fontId="2" fillId="0" borderId="0" xfId="0" applyFont="1">
      <alignment horizontal="left" vertical="center" wrapText="1" indent="1"/>
    </xf>
    <xf numFmtId="1" fontId="2" fillId="0" borderId="0" xfId="7" applyFont="1" applyFill="1" applyBorder="1">
      <alignment horizontal="center" vertical="center"/>
    </xf>
    <xf numFmtId="7" fontId="19" fillId="0" borderId="0" xfId="8" applyFont="1">
      <alignment horizontal="right" vertical="center" indent="1"/>
    </xf>
    <xf numFmtId="0" fontId="20" fillId="0" borderId="0" xfId="0" applyFont="1">
      <alignment horizontal="left" vertical="center" wrapText="1" indent="1"/>
    </xf>
    <xf numFmtId="7" fontId="13" fillId="0" borderId="0" xfId="8" applyFont="1" applyFill="1" applyBorder="1">
      <alignment horizontal="right" vertical="center" indent="1"/>
    </xf>
    <xf numFmtId="0" fontId="21" fillId="0" borderId="0" xfId="0" applyFont="1">
      <alignment horizontal="left" vertical="center" wrapText="1" indent="1"/>
    </xf>
    <xf numFmtId="0" fontId="0" fillId="0" borderId="0" xfId="0">
      <alignment horizontal="left" vertical="center" wrapText="1" indent="1"/>
    </xf>
    <xf numFmtId="0" fontId="10" fillId="0" borderId="0" xfId="3">
      <alignment horizontal="left" vertical="center" indent="1"/>
    </xf>
    <xf numFmtId="0" fontId="7" fillId="0" borderId="5" xfId="4">
      <alignment horizontal="left" vertical="top" wrapText="1"/>
    </xf>
    <xf numFmtId="0" fontId="8" fillId="0" borderId="0" xfId="16">
      <alignment horizontal="left" vertical="top" wrapText="1"/>
    </xf>
    <xf numFmtId="0" fontId="7" fillId="0" borderId="4" xfId="11">
      <alignment vertical="top" wrapText="1"/>
    </xf>
    <xf numFmtId="0" fontId="7" fillId="0" borderId="6" xfId="11" applyBorder="1">
      <alignment vertical="top" wrapText="1"/>
    </xf>
    <xf numFmtId="0" fontId="14" fillId="4" borderId="2" xfId="1" applyFont="1" applyFill="1" applyBorder="1"/>
    <xf numFmtId="0" fontId="0" fillId="0" borderId="0" xfId="0" applyAlignment="1">
      <alignment horizontal="left" vertical="center" wrapText="1"/>
    </xf>
    <xf numFmtId="1" fontId="1" fillId="0" borderId="0" xfId="7" applyFont="1">
      <alignment horizontal="center" vertical="center"/>
    </xf>
    <xf numFmtId="0" fontId="1" fillId="0" borderId="0" xfId="0" applyFont="1">
      <alignment horizontal="left" vertical="center" wrapText="1" indent="1"/>
    </xf>
    <xf numFmtId="1" fontId="1" fillId="0" borderId="0" xfId="7" applyFont="1" applyFill="1" applyBorder="1">
      <alignment horizontal="center" vertical="center"/>
    </xf>
    <xf numFmtId="7" fontId="1" fillId="0" borderId="0" xfId="8" applyFont="1">
      <alignment horizontal="right" vertical="center" indent="1"/>
    </xf>
    <xf numFmtId="0" fontId="22" fillId="5" borderId="0" xfId="0" applyFont="1" applyFill="1">
      <alignment horizontal="left" vertical="center" wrapText="1" indent="1"/>
    </xf>
    <xf numFmtId="0" fontId="22" fillId="0" borderId="0" xfId="0" applyFont="1">
      <alignment horizontal="left" vertical="center" wrapText="1" indent="1"/>
    </xf>
  </cellXfs>
  <cellStyles count="22">
    <cellStyle name="Bottom Border" xfId="21" xr:uid="{00000000-0005-0000-0000-000000000000}"/>
    <cellStyle name="Centered table headers" xfId="18" xr:uid="{00000000-0005-0000-0000-000001000000}"/>
    <cellStyle name="Comma" xfId="7" builtinId="3" customBuiltin="1"/>
    <cellStyle name="Currency" xfId="8" builtinId="4" customBuiltin="1"/>
    <cellStyle name="Currency [0]" xfId="9" builtinId="7" customBuiltin="1"/>
    <cellStyle name="Date" xfId="17" xr:uid="{00000000-0005-0000-0000-000005000000}"/>
    <cellStyle name="Due Date" xfId="19" xr:uid="{00000000-0005-0000-0000-000006000000}"/>
    <cellStyle name="Explanatory Text" xfId="16" builtinId="53" customBuiltin="1"/>
    <cellStyle name="Followed Hyperlink" xfId="6" builtinId="9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yperlink" xfId="5" builtinId="8" customBuiltin="1"/>
    <cellStyle name="Input" xfId="15" builtinId="20" customBuiltin="1"/>
    <cellStyle name="Normal" xfId="0" builtinId="0" customBuiltin="1"/>
    <cellStyle name="Percent" xfId="10" builtinId="5" customBuiltin="1"/>
    <cellStyle name="Phone" xfId="2" xr:uid="{00000000-0005-0000-0000-000011000000}"/>
    <cellStyle name="Sign Here" xfId="3" xr:uid="{00000000-0005-0000-0000-000012000000}"/>
    <cellStyle name="Signature" xfId="4" xr:uid="{00000000-0005-0000-0000-000013000000}"/>
    <cellStyle name="Title" xfId="1" builtinId="15" customBuiltin="1"/>
    <cellStyle name="Total" xfId="20" builtinId="25" customBuiltin="1"/>
  </cellStyles>
  <dxfs count="10">
    <dxf>
      <numFmt numFmtId="11" formatCode="&quot;$&quot;#,##0.00_);\(&quot;$&quot;#,##0.00\)"/>
      <alignment horizontal="right" vertical="center" textRotation="0" wrapText="0" indent="1" justifyLastLine="0" shrinkToFit="0" readingOrder="0"/>
    </dxf>
    <dxf>
      <border diagonalUp="0" diagonalDown="0" outline="0">
        <left/>
        <right/>
        <top/>
        <bottom style="thin">
          <color theme="3" tint="0.749961851863155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</font>
      <fill>
        <patternFill patternType="lightUp">
          <fgColor theme="3" tint="0.89996032593768116"/>
        </patternFill>
      </fill>
      <border>
        <bottom style="thin">
          <color theme="3" tint="0.749961851863155"/>
        </bottom>
      </border>
    </dxf>
    <dxf>
      <fill>
        <patternFill patternType="none">
          <bgColor auto="1"/>
        </patternFill>
      </fill>
    </dxf>
    <dxf>
      <font>
        <b/>
        <i val="0"/>
      </font>
      <fill>
        <patternFill patternType="lightUp">
          <fgColor theme="3" tint="0.89996032593768116"/>
        </patternFill>
      </fill>
    </dxf>
    <dxf>
      <font>
        <b/>
        <i val="0"/>
      </font>
    </dxf>
    <dxf>
      <font>
        <b val="0"/>
        <i val="0"/>
      </font>
      <fill>
        <patternFill patternType="solid">
          <fgColor theme="0"/>
        </patternFill>
      </fill>
      <border>
        <left/>
        <right/>
        <bottom/>
        <vertical/>
        <horizontal/>
      </border>
    </dxf>
    <dxf>
      <font>
        <b val="0"/>
        <i val="0"/>
        <color theme="4" tint="-0.24994659260841701"/>
      </font>
      <border>
        <left style="thin">
          <color theme="3" tint="0.749961851863155"/>
        </left>
        <right style="thin">
          <color theme="3" tint="0.749961851863155"/>
        </right>
        <top style="thick">
          <color theme="3" tint="0.749961851863155"/>
        </top>
        <bottom style="thin">
          <color theme="3" tint="0.749961851863155"/>
        </bottom>
      </border>
    </dxf>
    <dxf>
      <border>
        <left style="thin">
          <color theme="3" tint="0.749961851863155"/>
        </left>
        <right style="thin">
          <color theme="3" tint="0.749961851863155"/>
        </right>
        <top style="thin">
          <color theme="3" tint="0.749961851863155"/>
        </top>
        <bottom style="thin">
          <color theme="3" tint="0.749961851863155"/>
        </bottom>
        <horizontal style="thin">
          <color theme="3" tint="0.749961851863155"/>
        </horizontal>
      </border>
    </dxf>
  </dxfs>
  <tableStyles count="1" defaultTableStyle="Construction proposal" defaultPivotStyle="PivotStyleLight7">
    <tableStyle name="Construction proposal" pivot="0" count="7" xr9:uid="{00000000-0011-0000-FFFF-FFFF00000000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lastHeaderCell" dxfId="4"/>
      <tableStyleElement type="lastTotalCell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214500</xdr:colOff>
      <xdr:row>37</xdr:row>
      <xdr:rowOff>121080</xdr:rowOff>
    </xdr:from>
    <xdr:to>
      <xdr:col>6</xdr:col>
      <xdr:colOff>1090380</xdr:colOff>
      <xdr:row>37</xdr:row>
      <xdr:rowOff>259680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516834B8-3F4F-51B1-9297-367FF1125B25}"/>
                </a:ext>
              </a:extLst>
            </xdr14:cNvPr>
            <xdr14:cNvContentPartPr/>
          </xdr14:nvContentPartPr>
          <xdr14:nvPr macro=""/>
          <xdr14:xfrm>
            <a:off x="8817480" y="20588400"/>
            <a:ext cx="875880" cy="1386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516834B8-3F4F-51B1-9297-367FF1125B2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781480" y="20516212"/>
              <a:ext cx="947520" cy="2826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2552700</xdr:colOff>
      <xdr:row>25</xdr:row>
      <xdr:rowOff>0</xdr:rowOff>
    </xdr:from>
    <xdr:to>
      <xdr:col>4</xdr:col>
      <xdr:colOff>3009180</xdr:colOff>
      <xdr:row>25</xdr:row>
      <xdr:rowOff>23760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E72F3EEF-BBFE-8AF3-511B-4575A94349C3}"/>
                </a:ext>
              </a:extLst>
            </xdr14:cNvPr>
            <xdr14:cNvContentPartPr/>
          </xdr14:nvContentPartPr>
          <xdr14:nvPr macro=""/>
          <xdr14:xfrm>
            <a:off x="5852160" y="9775800"/>
            <a:ext cx="456480" cy="237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E72F3EEF-BBFE-8AF3-511B-4575A94349C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816160" y="9703800"/>
              <a:ext cx="52812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121620</xdr:colOff>
      <xdr:row>25</xdr:row>
      <xdr:rowOff>0</xdr:rowOff>
    </xdr:from>
    <xdr:to>
      <xdr:col>4</xdr:col>
      <xdr:colOff>3070380</xdr:colOff>
      <xdr:row>25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902B8D1E-C62A-90C4-1B89-290CE007DB52}"/>
                </a:ext>
              </a:extLst>
            </xdr14:cNvPr>
            <xdr14:cNvContentPartPr/>
          </xdr14:nvContentPartPr>
          <xdr14:nvPr macro=""/>
          <xdr14:xfrm>
            <a:off x="3421080" y="9981720"/>
            <a:ext cx="29487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902B8D1E-C62A-90C4-1B89-290CE007DB5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385080" y="9909720"/>
              <a:ext cx="302040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15060</xdr:colOff>
      <xdr:row>35</xdr:row>
      <xdr:rowOff>258540</xdr:rowOff>
    </xdr:from>
    <xdr:to>
      <xdr:col>4</xdr:col>
      <xdr:colOff>2101620</xdr:colOff>
      <xdr:row>35</xdr:row>
      <xdr:rowOff>273660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69D17776-7AA8-3D40-25FC-A6034B67247E}"/>
                </a:ext>
              </a:extLst>
            </xdr14:cNvPr>
            <xdr14:cNvContentPartPr/>
          </xdr14:nvContentPartPr>
          <xdr14:nvPr macro=""/>
          <xdr14:xfrm>
            <a:off x="3314520" y="19819080"/>
            <a:ext cx="2086560" cy="151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69D17776-7AA8-3D40-25FC-A6034B67247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278520" y="19747080"/>
              <a:ext cx="215820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274260</xdr:colOff>
      <xdr:row>36</xdr:row>
      <xdr:rowOff>197520</xdr:rowOff>
    </xdr:from>
    <xdr:to>
      <xdr:col>6</xdr:col>
      <xdr:colOff>1066980</xdr:colOff>
      <xdr:row>36</xdr:row>
      <xdr:rowOff>206520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B1CB470-FC21-6A66-4D1B-D913E2B02077}"/>
                </a:ext>
              </a:extLst>
            </xdr14:cNvPr>
            <xdr14:cNvContentPartPr/>
          </xdr14:nvContentPartPr>
          <xdr14:nvPr macro=""/>
          <xdr14:xfrm>
            <a:off x="8877240" y="20283840"/>
            <a:ext cx="792720" cy="90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6B1CB470-FC21-6A66-4D1B-D913E2B0207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841240" y="20211840"/>
              <a:ext cx="864360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358140</xdr:colOff>
      <xdr:row>38</xdr:row>
      <xdr:rowOff>120240</xdr:rowOff>
    </xdr:from>
    <xdr:to>
      <xdr:col>6</xdr:col>
      <xdr:colOff>1073460</xdr:colOff>
      <xdr:row>38</xdr:row>
      <xdr:rowOff>291960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69997982-5DD5-AD0D-84F0-0F42D8EAD890}"/>
                </a:ext>
              </a:extLst>
            </xdr14:cNvPr>
            <xdr14:cNvContentPartPr/>
          </xdr14:nvContentPartPr>
          <xdr14:nvPr macro=""/>
          <xdr14:xfrm>
            <a:off x="8961120" y="20968560"/>
            <a:ext cx="715320" cy="1717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69997982-5DD5-AD0D-84F0-0F42D8EAD89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925120" y="20896409"/>
              <a:ext cx="786960" cy="3156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3695640</xdr:colOff>
      <xdr:row>39</xdr:row>
      <xdr:rowOff>128160</xdr:rowOff>
    </xdr:from>
    <xdr:to>
      <xdr:col>5</xdr:col>
      <xdr:colOff>717780</xdr:colOff>
      <xdr:row>39</xdr:row>
      <xdr:rowOff>304920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B40E3669-456C-6FE2-6755-4882465DE91E}"/>
                </a:ext>
              </a:extLst>
            </xdr14:cNvPr>
            <xdr14:cNvContentPartPr/>
          </xdr14:nvContentPartPr>
          <xdr14:nvPr macro=""/>
          <xdr14:xfrm>
            <a:off x="6995100" y="27407760"/>
            <a:ext cx="900720" cy="1767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B40E3669-456C-6FE2-6755-4882465DE91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841240" y="21224520"/>
              <a:ext cx="972360" cy="32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723840</xdr:colOff>
      <xdr:row>48</xdr:row>
      <xdr:rowOff>235860</xdr:rowOff>
    </xdr:from>
    <xdr:to>
      <xdr:col>1</xdr:col>
      <xdr:colOff>724200</xdr:colOff>
      <xdr:row>48</xdr:row>
      <xdr:rowOff>236220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2EBEBC4-CEBF-6839-A390-3916A38D6366}"/>
                </a:ext>
              </a:extLst>
            </xdr14:cNvPr>
            <xdr14:cNvContentPartPr/>
          </xdr14:nvContentPartPr>
          <xdr14:nvPr macro=""/>
          <xdr14:xfrm>
            <a:off x="921960" y="19064880"/>
            <a:ext cx="360" cy="3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2EBEBC4-CEBF-6839-A390-3916A38D6366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885960" y="18992880"/>
              <a:ext cx="72000" cy="144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29T02:31:34.617"/>
    </inkml:context>
    <inkml:brush xml:id="br0">
      <inkml:brushProperty name="width" value="0.2" units="cm"/>
      <inkml:brushProperty name="height" value="0.4" units="cm"/>
      <inkml:brushProperty name="color" value="#FFFFFF"/>
      <inkml:brushProperty name="tip" value="rectangle"/>
      <inkml:brushProperty name="rasterOp" value="maskPen"/>
      <inkml:brushProperty name="ignorePressure" value="1"/>
    </inkml:brush>
  </inkml:definitions>
  <inkml:trace contextRef="#ctx0" brushRef="#br0">102 383,'476'1,"515"-3,-397-38,-551 31,-1-1,66-25,-104 33,52-13,-40 10</inkml:trace>
  <inkml:trace contextRef="#ctx0" brushRef="#br0" timeOffset="1497.33">2092 171,'1'-1,"0"0,1 0,-1-1,0 1,0 0,-1 0,1-1,0 1,0 0,0-1,-1 1,1-1,-1 1,1-1,-1 1,0-1,0 1,1-1,-1 0,0 1,0-1,-1-2,0 2,0 0,0-1,0 1,0 0,0 0,-1 0,1 0,-1 0,1 0,-1 1,0-1,0 1,-2-3,-5-2,-1 0,0 1,0 0,0 1,-11-4,-17-3,0 2,-66-7,-80 3,76 7,-823-11,665 18,255-2,0 1,0 1,0 0,0 0,0 1,0 0,0 1,1 1,-1-1,1 1,0 1,0 0,-10 8,5-4,0 0,0-1,-1 0,0-1,0-1,-1 0,-22 3,21-4,0 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29T02:30:14.197"/>
    </inkml:context>
    <inkml:brush xml:id="br0">
      <inkml:brushProperty name="width" value="0.2" units="cm"/>
      <inkml:brushProperty name="height" value="0.4" units="cm"/>
      <inkml:brushProperty name="color" value="#FFFF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65,'848'0,"-830"-2,0 0,-1-1,1 0,-1-2,33-12,-33 10,0 1,1 1,0 0,0 1,31-2,77 8,-108-2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29T02:30:17.607"/>
    </inkml:context>
    <inkml:brush xml:id="br0">
      <inkml:brushProperty name="width" value="0.2" units="cm"/>
      <inkml:brushProperty name="height" value="0.4" units="cm"/>
      <inkml:brushProperty name="color" value="#FFFF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1,'8172'0,"-8154"0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29T02:31:30.765"/>
    </inkml:context>
    <inkml:brush xml:id="br0">
      <inkml:brushProperty name="width" value="0.2" units="cm"/>
      <inkml:brushProperty name="height" value="0.4" units="cm"/>
      <inkml:brushProperty name="color" value="#FFFF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1,'4678'0,"-4414"11,13 0,-139-14,165 5,-190 15,-91-14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29T02:31:33.168"/>
    </inkml:context>
    <inkml:brush xml:id="br0">
      <inkml:brushProperty name="width" value="0.2" units="cm"/>
      <inkml:brushProperty name="height" value="0.4" units="cm"/>
      <inkml:brushProperty name="color" value="#FFFF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1,'0'1,"0"0,1-1,-1 1,0 0,1 0,-1 0,1-1,-1 1,1 0,-1-1,1 1,0 0,-1-1,1 1,0 0,-1-1,1 1,0-1,0 0,0 1,-1-1,1 0,0 1,0-1,0 0,0 0,0 0,1 1,31 2,-27-2,362 3,-208-6,1436 2,-1578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29T02:31:38.573"/>
    </inkml:context>
    <inkml:brush xml:id="br0">
      <inkml:brushProperty name="width" value="0.2" units="cm"/>
      <inkml:brushProperty name="height" value="0.4" units="cm"/>
      <inkml:brushProperty name="color" value="#FFFF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0 174,'101'0,"338"-13,-12-58,-80 14,-244 48,20-3,-80 6,0 2,1 3,67 4,-101-1,0 0,0 0,0 1,0 0,-1 1,18 9,51 35,-75-46,0 1,0-1,0 0,0 1,0-1,-1 1,1 0,-1 0,0 0,1 0,-2 1,1-1,0 0,-1 1,1-1,1 8,-3-9,0 1,-1-1,1 0,0 0,-1 1,1-1,-1 0,1 0,-1 0,0 0,0 1,0-1,0-1,-1 1,1 0,0 0,-1 0,0-1,1 1,-1 0,0-1,0 0,1 1,-1-1,0 0,0 0,-1 0,-3 1,-33 13,0-3,-73 14,5-1,-156 61,-69 18,287-97,0-2,-1-1,1-3,-53-5,-7 2,-329 2,424-1,-1-1,0 0,1 0,-1-1,1 0,0-1,0 0,0-1,-9-6,1 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29T02:31:40.298"/>
    </inkml:context>
    <inkml:brush xml:id="br0">
      <inkml:brushProperty name="width" value="0.2" units="cm"/>
      <inkml:brushProperty name="height" value="0.4" units="cm"/>
      <inkml:brushProperty name="color" value="#FFFFFF"/>
      <inkml:brushProperty name="tip" value="rectangle"/>
      <inkml:brushProperty name="rasterOp" value="maskPen"/>
      <inkml:brushProperty name="ignorePressure" value="1"/>
    </inkml:brush>
  </inkml:definitions>
  <inkml:trace contextRef="#ctx0" brushRef="#br0">63 173,'136'0,"233"-2,-2-28,-304 21,10-2,90-2,-131 12,0-1,-1-2,1-1,-1-1,0-2,0-1,-1-1,31-16,-43 19,0 0,1 1,0 1,0 1,0 1,25-1,120 4,-67 3,-4-3,-75 0</inkml:trace>
  <inkml:trace contextRef="#ctx0" brushRef="#br0" timeOffset="1187">0 406,'0'1,"0"0,0 0,0 0,1 0,-1 0,0 0,1 0,-1 0,0-1,1 1,-1 0,1 0,-1 0,1 0,0-1,-1 1,1 0,0 0,0-1,-1 1,1-1,0 1,0-1,1 2,25 6,-26-8,62 9,1-3,0-3,69-5,-33 0,171 0,322 3,-327 19,-29-1,270-15,-346-5,-177 1</inkml:trace>
  <inkml:trace contextRef="#ctx0" brushRef="#br0" timeOffset="2283.43">1503 427,'4'-4,"0"-4,8-5,8 0,5-2,9-1,5 1,8-3,-1-2,-5 1,-2-2,-4-2,-4 4,-8 0,-4 5,-5 4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29T02:32:01.287"/>
    </inkml:context>
    <inkml:brush xml:id="br0">
      <inkml:brushProperty name="width" value="0.2" units="cm"/>
      <inkml:brushProperty name="height" value="0.4" units="cm"/>
      <inkml:brushProperty name="color" value="#FFFF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ineItems" displayName="LineItems" ref="D4:G43" totalsRowCount="1">
  <autoFilter ref="D4:G42" xr:uid="{00000000-0009-0000-0100-000002000000}"/>
  <tableColumns count="4">
    <tableColumn id="1" xr3:uid="{00000000-0010-0000-0000-000001000000}" name="QUANTITY" totalsRowDxfId="2"/>
    <tableColumn id="2" xr3:uid="{00000000-0010-0000-0000-000002000000}" name="DESCRIPTION"/>
    <tableColumn id="3" xr3:uid="{00000000-0010-0000-0000-000003000000}" name="UNIT PRICE" totalsRowLabel="SUBTOTAL" totalsRowDxfId="1"/>
    <tableColumn id="4" xr3:uid="{00000000-0010-0000-0000-000004000000}" name="AMOUNT" totalsRowFunction="sum" totalsRowDxfId="0" dataCellStyle="Currency">
      <calculatedColumnFormula>IFERROR(LineItems[[#This Row],[QUANTITY]]*LineItems[[#This Row],[UNIT PRICE]], "")</calculatedColumnFormula>
    </tableColumn>
  </tableColumns>
  <tableStyleInfo name="Construction proposal" showFirstColumn="1" showLastColumn="1" showRowStripes="1" showColumnStripes="0"/>
  <extLst>
    <ext xmlns:x14="http://schemas.microsoft.com/office/spreadsheetml/2009/9/main" uri="{504A1905-F514-4f6f-8877-14C23A59335A}">
      <x14:table altTextSummary="Enter Quantity, Description, and Unit Price in this table. Amount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Construction Proposal">
      <a:dk1>
        <a:sysClr val="windowText" lastClr="000000"/>
      </a:dk1>
      <a:lt1>
        <a:sysClr val="window" lastClr="FFFFFF"/>
      </a:lt1>
      <a:dk2>
        <a:srgbClr val="3F3122"/>
      </a:dk2>
      <a:lt2>
        <a:srgbClr val="F1F6F8"/>
      </a:lt2>
      <a:accent1>
        <a:srgbClr val="E54A41"/>
      </a:accent1>
      <a:accent2>
        <a:srgbClr val="4F8BA6"/>
      </a:accent2>
      <a:accent3>
        <a:srgbClr val="FC9F23"/>
      </a:accent3>
      <a:accent4>
        <a:srgbClr val="5E8C42"/>
      </a:accent4>
      <a:accent5>
        <a:srgbClr val="F9C73D"/>
      </a:accent5>
      <a:accent6>
        <a:srgbClr val="83406A"/>
      </a:accent6>
      <a:hlink>
        <a:srgbClr val="4F8BA6"/>
      </a:hlink>
      <a:folHlink>
        <a:srgbClr val="83406A"/>
      </a:folHlink>
    </a:clrScheme>
    <a:fontScheme name="199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B1:G55"/>
  <sheetViews>
    <sheetView showGridLines="0" tabSelected="1" zoomScaleNormal="100" workbookViewId="0">
      <selection activeCell="E41" sqref="E41"/>
    </sheetView>
  </sheetViews>
  <sheetFormatPr defaultRowHeight="30" customHeight="1" x14ac:dyDescent="0.25"/>
  <cols>
    <col min="1" max="1" width="2.59765625" customWidth="1"/>
    <col min="2" max="2" width="22.59765625" customWidth="1"/>
    <col min="3" max="3" width="2.59765625" customWidth="1"/>
    <col min="4" max="4" width="15.5" customWidth="1"/>
    <col min="5" max="5" width="50.8984375" customWidth="1"/>
    <col min="6" max="6" width="18.69921875" customWidth="1"/>
    <col min="7" max="7" width="15.3984375" customWidth="1"/>
    <col min="8" max="8" width="2.59765625" customWidth="1"/>
  </cols>
  <sheetData>
    <row r="1" spans="2:7" ht="57.75" customHeight="1" x14ac:dyDescent="0.5">
      <c r="B1" s="40"/>
      <c r="D1" s="46" t="s">
        <v>20</v>
      </c>
      <c r="E1" s="46"/>
      <c r="F1" s="46"/>
      <c r="G1" s="46"/>
    </row>
    <row r="2" spans="2:7" ht="30" customHeight="1" x14ac:dyDescent="0.25">
      <c r="B2" s="40"/>
      <c r="D2" s="22"/>
      <c r="E2" s="45"/>
      <c r="F2" s="45"/>
      <c r="G2" s="45"/>
    </row>
    <row r="3" spans="2:7" ht="46.5" customHeight="1" x14ac:dyDescent="0.25">
      <c r="B3" s="40"/>
      <c r="D3" s="21"/>
      <c r="E3" s="44"/>
      <c r="F3" s="44"/>
      <c r="G3" s="44"/>
    </row>
    <row r="4" spans="2:7" ht="30" customHeight="1" x14ac:dyDescent="0.25">
      <c r="B4" s="40"/>
      <c r="D4" s="24" t="s">
        <v>0</v>
      </c>
      <c r="E4" s="25" t="s">
        <v>1</v>
      </c>
      <c r="F4" s="24" t="s">
        <v>2</v>
      </c>
      <c r="G4" s="24" t="s">
        <v>3</v>
      </c>
    </row>
    <row r="5" spans="2:7" ht="30" customHeight="1" x14ac:dyDescent="0.25">
      <c r="B5" s="1"/>
      <c r="D5" s="6"/>
      <c r="E5" s="30" t="s">
        <v>19</v>
      </c>
      <c r="F5" s="5"/>
      <c r="G5" s="5"/>
    </row>
    <row r="6" spans="2:7" ht="30" customHeight="1" x14ac:dyDescent="0.25">
      <c r="B6" s="2"/>
      <c r="D6" s="6">
        <v>1</v>
      </c>
      <c r="E6" t="s">
        <v>31</v>
      </c>
      <c r="F6" s="5"/>
      <c r="G6" s="5">
        <v>19000</v>
      </c>
    </row>
    <row r="7" spans="2:7" ht="30" customHeight="1" x14ac:dyDescent="0.25">
      <c r="B7" s="1"/>
      <c r="D7" s="6">
        <v>1</v>
      </c>
      <c r="E7" t="s">
        <v>25</v>
      </c>
      <c r="F7" s="5"/>
      <c r="G7" s="5">
        <v>4500</v>
      </c>
    </row>
    <row r="8" spans="2:7" ht="30" customHeight="1" x14ac:dyDescent="0.25">
      <c r="B8" s="2"/>
      <c r="D8" s="6">
        <v>1</v>
      </c>
      <c r="E8" t="s">
        <v>26</v>
      </c>
      <c r="F8" s="5"/>
      <c r="G8" s="5">
        <v>2500</v>
      </c>
    </row>
    <row r="9" spans="2:7" ht="30" customHeight="1" x14ac:dyDescent="0.25">
      <c r="B9" s="2"/>
      <c r="D9" s="48">
        <v>1</v>
      </c>
      <c r="E9" s="49" t="s">
        <v>27</v>
      </c>
      <c r="F9" s="28"/>
      <c r="G9" s="51">
        <v>7000</v>
      </c>
    </row>
    <row r="10" spans="2:7" ht="30" customHeight="1" x14ac:dyDescent="0.25">
      <c r="B10" s="1"/>
      <c r="D10" s="6">
        <v>1</v>
      </c>
      <c r="E10" t="s">
        <v>35</v>
      </c>
      <c r="F10" s="5"/>
      <c r="G10" s="5">
        <v>2000</v>
      </c>
    </row>
    <row r="11" spans="2:7" ht="36.6" customHeight="1" x14ac:dyDescent="0.25">
      <c r="B11" s="3"/>
      <c r="D11" s="50">
        <v>1</v>
      </c>
      <c r="E11" s="49" t="s">
        <v>28</v>
      </c>
      <c r="F11" s="38"/>
      <c r="G11" s="51">
        <v>1300</v>
      </c>
    </row>
    <row r="12" spans="2:7" ht="36" customHeight="1" x14ac:dyDescent="0.25">
      <c r="B12" s="2"/>
      <c r="D12" s="12">
        <v>1</v>
      </c>
      <c r="E12" s="49" t="s">
        <v>29</v>
      </c>
      <c r="F12" s="38"/>
      <c r="G12" s="51">
        <v>30262.560000000001</v>
      </c>
    </row>
    <row r="13" spans="2:7" ht="30" customHeight="1" x14ac:dyDescent="0.25">
      <c r="B13" s="7"/>
      <c r="D13" s="6">
        <v>1</v>
      </c>
      <c r="E13" t="s">
        <v>32</v>
      </c>
      <c r="F13" s="5"/>
      <c r="G13" s="5">
        <v>3000</v>
      </c>
    </row>
    <row r="14" spans="2:7" ht="22.2" customHeight="1" x14ac:dyDescent="0.25">
      <c r="B14" s="1"/>
      <c r="D14" s="33">
        <v>1</v>
      </c>
      <c r="E14" s="29" t="s">
        <v>33</v>
      </c>
      <c r="F14" s="38"/>
      <c r="G14" s="28">
        <v>0</v>
      </c>
    </row>
    <row r="15" spans="2:7" ht="30" customHeight="1" x14ac:dyDescent="0.25">
      <c r="B15" s="1"/>
      <c r="D15" s="48">
        <v>1</v>
      </c>
      <c r="E15" t="s">
        <v>30</v>
      </c>
      <c r="F15" s="5"/>
      <c r="G15" s="5">
        <v>1000</v>
      </c>
    </row>
    <row r="16" spans="2:7" ht="30" customHeight="1" x14ac:dyDescent="0.25">
      <c r="B16" s="1"/>
      <c r="D16" s="48">
        <v>1</v>
      </c>
      <c r="E16" s="49" t="s">
        <v>34</v>
      </c>
      <c r="F16" s="28"/>
      <c r="G16" s="51">
        <v>3500</v>
      </c>
    </row>
    <row r="17" spans="2:7" ht="30" customHeight="1" x14ac:dyDescent="0.25">
      <c r="B17" s="2"/>
      <c r="D17" s="12">
        <v>1</v>
      </c>
      <c r="E17" t="s">
        <v>36</v>
      </c>
      <c r="F17" s="13"/>
      <c r="G17" s="5">
        <v>7500</v>
      </c>
    </row>
    <row r="18" spans="2:7" ht="30" customHeight="1" x14ac:dyDescent="0.25">
      <c r="B18" s="2"/>
      <c r="D18" s="12">
        <v>1</v>
      </c>
      <c r="E18" s="49" t="s">
        <v>39</v>
      </c>
      <c r="F18" s="13"/>
      <c r="G18" s="5">
        <v>2500</v>
      </c>
    </row>
    <row r="19" spans="2:7" ht="30" customHeight="1" x14ac:dyDescent="0.25">
      <c r="B19" s="1"/>
      <c r="D19" s="12"/>
      <c r="E19" s="29"/>
      <c r="F19" s="13"/>
      <c r="G19" s="5">
        <f>IFERROR(LineItems[[#This Row],[QUANTITY]]*LineItems[[#This Row],[UNIT PRICE]], "")</f>
        <v>0</v>
      </c>
    </row>
    <row r="20" spans="2:7" ht="39" customHeight="1" x14ac:dyDescent="0.25">
      <c r="B20" s="1"/>
      <c r="D20" s="12"/>
      <c r="E20" s="30" t="s">
        <v>16</v>
      </c>
      <c r="F20" s="13"/>
      <c r="G20" s="5"/>
    </row>
    <row r="21" spans="2:7" ht="30" customHeight="1" x14ac:dyDescent="0.25">
      <c r="B21" s="2"/>
      <c r="D21" s="12"/>
      <c r="E21" t="s">
        <v>14</v>
      </c>
      <c r="F21" s="13"/>
      <c r="G21" s="5"/>
    </row>
    <row r="22" spans="2:7" ht="34.799999999999997" customHeight="1" x14ac:dyDescent="0.25">
      <c r="B22" s="1"/>
      <c r="D22" s="12"/>
      <c r="E22" t="s">
        <v>12</v>
      </c>
      <c r="F22" s="13"/>
      <c r="G22" s="5"/>
    </row>
    <row r="23" spans="2:7" ht="30" customHeight="1" x14ac:dyDescent="0.25">
      <c r="B23" s="2"/>
      <c r="D23" s="12"/>
      <c r="E23" t="s">
        <v>13</v>
      </c>
      <c r="F23" s="13"/>
      <c r="G23" s="5"/>
    </row>
    <row r="24" spans="2:7" ht="30" customHeight="1" x14ac:dyDescent="0.25">
      <c r="B24" s="1"/>
      <c r="D24" s="12"/>
      <c r="E24" t="s">
        <v>17</v>
      </c>
      <c r="F24" s="13"/>
      <c r="G24" s="5"/>
    </row>
    <row r="25" spans="2:7" ht="38.4" customHeight="1" x14ac:dyDescent="0.25">
      <c r="B25" s="2"/>
      <c r="D25" s="12"/>
      <c r="E25" s="31"/>
      <c r="F25" s="13"/>
      <c r="G25" s="5"/>
    </row>
    <row r="26" spans="2:7" ht="30" customHeight="1" x14ac:dyDescent="0.25">
      <c r="B26" s="1"/>
      <c r="D26" s="12"/>
      <c r="E26" s="30" t="s">
        <v>15</v>
      </c>
      <c r="F26" s="13"/>
      <c r="G26" s="5"/>
    </row>
    <row r="27" spans="2:7" ht="30" customHeight="1" x14ac:dyDescent="0.25">
      <c r="B27" s="2"/>
      <c r="D27" s="12">
        <v>1</v>
      </c>
      <c r="E27" t="s">
        <v>18</v>
      </c>
      <c r="F27" s="13"/>
      <c r="G27" s="5"/>
    </row>
    <row r="28" spans="2:7" ht="30" customHeight="1" x14ac:dyDescent="0.25">
      <c r="B28" s="1"/>
      <c r="D28" s="12"/>
      <c r="F28" s="13"/>
      <c r="G28" s="5"/>
    </row>
    <row r="29" spans="2:7" ht="30" customHeight="1" x14ac:dyDescent="0.25">
      <c r="B29" s="4"/>
      <c r="D29" s="12"/>
      <c r="E29" s="52" t="s">
        <v>37</v>
      </c>
      <c r="F29" s="13"/>
      <c r="G29" s="5"/>
    </row>
    <row r="30" spans="2:7" ht="30" customHeight="1" x14ac:dyDescent="0.25">
      <c r="B30" s="1"/>
      <c r="D30" s="12">
        <v>1</v>
      </c>
      <c r="E30" s="37"/>
      <c r="F30" s="13"/>
      <c r="G30" s="36"/>
    </row>
    <row r="31" spans="2:7" ht="30" customHeight="1" x14ac:dyDescent="0.25">
      <c r="B31" s="4"/>
      <c r="D31" s="33"/>
      <c r="E31" s="39"/>
      <c r="F31" s="38"/>
      <c r="G31" s="28"/>
    </row>
    <row r="32" spans="2:7" ht="30" customHeight="1" x14ac:dyDescent="0.25">
      <c r="B32" s="1"/>
      <c r="D32" s="12"/>
      <c r="E32" s="29"/>
      <c r="F32" s="13"/>
      <c r="G32" s="5"/>
    </row>
    <row r="33" spans="2:7" ht="30" customHeight="1" x14ac:dyDescent="0.25">
      <c r="B33" s="17"/>
      <c r="D33" s="12"/>
      <c r="E33" s="53" t="s">
        <v>21</v>
      </c>
      <c r="F33" s="13"/>
      <c r="G33" s="5"/>
    </row>
    <row r="34" spans="2:7" ht="30" customHeight="1" x14ac:dyDescent="0.25">
      <c r="D34" s="12">
        <v>1</v>
      </c>
      <c r="E34" s="27" t="s">
        <v>22</v>
      </c>
      <c r="F34" s="13"/>
      <c r="G34" s="5">
        <v>1950</v>
      </c>
    </row>
    <row r="35" spans="2:7" ht="30" customHeight="1" x14ac:dyDescent="0.25">
      <c r="D35" s="12"/>
      <c r="F35" s="13"/>
      <c r="G35" s="5"/>
    </row>
    <row r="36" spans="2:7" ht="30" customHeight="1" x14ac:dyDescent="0.25">
      <c r="D36" s="12"/>
      <c r="E36" s="53" t="s">
        <v>38</v>
      </c>
      <c r="F36" s="13"/>
      <c r="G36" s="5"/>
    </row>
    <row r="37" spans="2:7" ht="30" customHeight="1" x14ac:dyDescent="0.25">
      <c r="D37" s="32">
        <v>1</v>
      </c>
      <c r="F37" s="13"/>
      <c r="G37" s="5"/>
    </row>
    <row r="38" spans="2:7" ht="30" customHeight="1" x14ac:dyDescent="0.25">
      <c r="D38" s="12">
        <v>1</v>
      </c>
      <c r="F38" s="13"/>
      <c r="G38" s="5"/>
    </row>
    <row r="39" spans="2:7" ht="30" customHeight="1" x14ac:dyDescent="0.25">
      <c r="D39" s="35"/>
      <c r="E39" s="34"/>
      <c r="F39" s="13"/>
      <c r="G39" s="5"/>
    </row>
    <row r="40" spans="2:7" ht="30" customHeight="1" x14ac:dyDescent="0.25">
      <c r="D40" s="33"/>
      <c r="E40" s="29"/>
      <c r="F40" s="13"/>
      <c r="G40" s="5"/>
    </row>
    <row r="41" spans="2:7" ht="30" customHeight="1" x14ac:dyDescent="0.25">
      <c r="D41" s="33"/>
      <c r="E41" s="29"/>
      <c r="F41" s="13"/>
      <c r="G41" s="5"/>
    </row>
    <row r="42" spans="2:7" ht="30" customHeight="1" x14ac:dyDescent="0.25">
      <c r="D42" s="12"/>
      <c r="F42" s="13"/>
      <c r="G42" s="5"/>
    </row>
    <row r="43" spans="2:7" ht="30" customHeight="1" x14ac:dyDescent="0.25">
      <c r="D43" s="14"/>
      <c r="F43" s="16" t="s">
        <v>9</v>
      </c>
      <c r="G43" s="26">
        <f>SUBTOTAL(109,LineItems[AMOUNT])</f>
        <v>86012.56</v>
      </c>
    </row>
    <row r="44" spans="2:7" ht="30" customHeight="1" x14ac:dyDescent="0.25">
      <c r="D44" s="8" t="s">
        <v>23</v>
      </c>
      <c r="E44" s="47"/>
      <c r="F44" s="23" t="s">
        <v>10</v>
      </c>
      <c r="G44" s="18">
        <v>0.2</v>
      </c>
    </row>
    <row r="45" spans="2:7" ht="30" customHeight="1" x14ac:dyDescent="0.25">
      <c r="D45" s="43" t="s">
        <v>24</v>
      </c>
      <c r="E45" s="43"/>
      <c r="F45" s="23" t="s">
        <v>11</v>
      </c>
      <c r="G45" s="19">
        <f>IFERROR(Subtotal*TaxRate, "")</f>
        <v>17202.511999999999</v>
      </c>
    </row>
    <row r="46" spans="2:7" ht="30" customHeight="1" x14ac:dyDescent="0.25">
      <c r="D46" s="43"/>
      <c r="E46" s="43"/>
      <c r="F46" s="15" t="s">
        <v>6</v>
      </c>
      <c r="G46" s="19"/>
    </row>
    <row r="47" spans="2:7" ht="30" customHeight="1" thickBot="1" x14ac:dyDescent="0.3">
      <c r="D47" s="43"/>
      <c r="E47" s="43"/>
      <c r="F47" s="11" t="s">
        <v>7</v>
      </c>
      <c r="G47" s="20">
        <f>IFERROR(Subtotal+G45+Other, "")</f>
        <v>103215.072</v>
      </c>
    </row>
    <row r="48" spans="2:7" ht="30" customHeight="1" thickTop="1" x14ac:dyDescent="0.25">
      <c r="D48" s="43"/>
      <c r="E48" s="43"/>
    </row>
    <row r="49" spans="4:7" ht="27.6" customHeight="1" x14ac:dyDescent="0.25">
      <c r="D49" s="41" t="s">
        <v>8</v>
      </c>
      <c r="E49" s="41"/>
      <c r="F49" s="41"/>
      <c r="G49" s="41"/>
    </row>
    <row r="50" spans="4:7" ht="30" customHeight="1" x14ac:dyDescent="0.25">
      <c r="D50" s="40"/>
      <c r="E50" s="40"/>
      <c r="F50" s="40"/>
      <c r="G50" s="10"/>
    </row>
    <row r="51" spans="4:7" ht="41.4" customHeight="1" x14ac:dyDescent="0.25">
      <c r="D51" s="42" t="s">
        <v>5</v>
      </c>
      <c r="E51" s="42"/>
      <c r="F51" s="42"/>
      <c r="G51" s="9" t="s">
        <v>4</v>
      </c>
    </row>
    <row r="52" spans="4:7" ht="41.4" customHeight="1" x14ac:dyDescent="0.25"/>
    <row r="55" spans="4:7" ht="81" customHeight="1" x14ac:dyDescent="0.25"/>
  </sheetData>
  <mergeCells count="8">
    <mergeCell ref="B1:B4"/>
    <mergeCell ref="D49:G49"/>
    <mergeCell ref="D50:F50"/>
    <mergeCell ref="D51:F51"/>
    <mergeCell ref="D45:E48"/>
    <mergeCell ref="E3:G3"/>
    <mergeCell ref="E2:G2"/>
    <mergeCell ref="D1:G1"/>
  </mergeCells>
  <dataValidations count="40">
    <dataValidation allowBlank="1" showInputMessage="1" showErrorMessage="1" prompt="Create a Construction Proposal in this sheet. Enter construction details in Line Items table starting in cell D4. Add Company Logo in cell B1. Total due is automatically calculated" sqref="A1" xr:uid="{00000000-0002-0000-0000-000000000000}"/>
    <dataValidation allowBlank="1" showInputMessage="1" showErrorMessage="1" prompt="Title of this worksheet is in this cell. Enter company name and address in cells below" sqref="D1" xr:uid="{00000000-0002-0000-0000-000001000000}"/>
    <dataValidation allowBlank="1" showInputMessage="1" showErrorMessage="1" prompt="Enter Customer name in cell below" sqref="B5" xr:uid="{00000000-0002-0000-0000-000002000000}"/>
    <dataValidation allowBlank="1" showInputMessage="1" showErrorMessage="1" prompt="Enter Estimate Number in cell below" sqref="B7" xr:uid="{00000000-0002-0000-0000-000003000000}"/>
    <dataValidation allowBlank="1" showInputMessage="1" showErrorMessage="1" prompt="Enter Estimate Number in this cell" sqref="B8:B12" xr:uid="{00000000-0002-0000-0000-000004000000}"/>
    <dataValidation allowBlank="1" showInputMessage="1" showErrorMessage="1" prompt="Enter Date in cell below" sqref="B10" xr:uid="{00000000-0002-0000-0000-000005000000}"/>
    <dataValidation allowBlank="1" showInputMessage="1" showErrorMessage="1" prompt="Enter Date in this cell" sqref="B13:B14" xr:uid="{00000000-0002-0000-0000-000006000000}"/>
    <dataValidation allowBlank="1" showInputMessage="1" showErrorMessage="1" prompt="Enter customer Address in cell below" sqref="B15:B16" xr:uid="{00000000-0002-0000-0000-000007000000}"/>
    <dataValidation allowBlank="1" showInputMessage="1" showErrorMessage="1" prompt="Enter customer City, State, and Zip code in cell below" sqref="B14" xr:uid="{00000000-0002-0000-0000-000008000000}"/>
    <dataValidation allowBlank="1" showInputMessage="1" showErrorMessage="1" prompt="Enter customer Phone number in cell below" sqref="B19" xr:uid="{00000000-0002-0000-0000-000009000000}"/>
    <dataValidation allowBlank="1" showInputMessage="1" showErrorMessage="1" prompt="Enter customer E-mail address in cell below" sqref="B20" xr:uid="{00000000-0002-0000-0000-00000A000000}"/>
    <dataValidation allowBlank="1" showInputMessage="1" showErrorMessage="1" prompt="Enter Salesperson name in cell below" sqref="B22" xr:uid="{00000000-0002-0000-0000-00000B000000}"/>
    <dataValidation allowBlank="1" showInputMessage="1" showErrorMessage="1" prompt="Enter Project in cell below" sqref="B24" xr:uid="{00000000-0002-0000-0000-00000C000000}"/>
    <dataValidation allowBlank="1" showInputMessage="1" showErrorMessage="1" prompt="Enter Prepared By person name in cell below" sqref="B26" xr:uid="{00000000-0002-0000-0000-00000D000000}"/>
    <dataValidation allowBlank="1" showInputMessage="1" showErrorMessage="1" prompt="Enter the name of the person to which the proposal should be addressed in cell below" sqref="B28" xr:uid="{00000000-0002-0000-0000-00000E000000}"/>
    <dataValidation allowBlank="1" showInputMessage="1" showErrorMessage="1" prompt="Enter the name of the person to which the proposal should be addressed in this cell" sqref="B29" xr:uid="{00000000-0002-0000-0000-00000F000000}"/>
    <dataValidation allowBlank="1" showInputMessage="1" showErrorMessage="1" prompt="Enter Payment Terms in cell below" sqref="B30" xr:uid="{00000000-0002-0000-0000-000010000000}"/>
    <dataValidation allowBlank="1" showInputMessage="1" showErrorMessage="1" prompt="Enter Payment Terms in this cell" sqref="B31" xr:uid="{00000000-0002-0000-0000-000011000000}"/>
    <dataValidation allowBlank="1" showInputMessage="1" showErrorMessage="1" prompt="Enter Due Date in cell below" sqref="B32" xr:uid="{00000000-0002-0000-0000-000012000000}"/>
    <dataValidation allowBlank="1" showInputMessage="1" showErrorMessage="1" prompt="Enter Due Date in this cell" sqref="B33" xr:uid="{00000000-0002-0000-0000-000013000000}"/>
    <dataValidation allowBlank="1" showInputMessage="1" showErrorMessage="1" prompt="Enter Quantity in this column under this heading. Use heading filters to find specific entries" sqref="D4" xr:uid="{00000000-0002-0000-0000-000014000000}"/>
    <dataValidation allowBlank="1" showInputMessage="1" showErrorMessage="1" prompt="Enter Description in this column under this heading" sqref="E4" xr:uid="{00000000-0002-0000-0000-000015000000}"/>
    <dataValidation allowBlank="1" showInputMessage="1" showErrorMessage="1" prompt="Enter Unit Price in this column under this heading" sqref="F4" xr:uid="{00000000-0002-0000-0000-000016000000}"/>
    <dataValidation allowBlank="1" showInputMessage="1" showErrorMessage="1" prompt="Amount is automatically calculated in this column under this heading. Subtotal is automatically calculated at the end" sqref="G4" xr:uid="{00000000-0002-0000-0000-000017000000}"/>
    <dataValidation allowBlank="1" showInputMessage="1" showErrorMessage="1" prompt="Enter Proposal conditions in cell below" sqref="D44" xr:uid="{00000000-0002-0000-0000-000018000000}"/>
    <dataValidation allowBlank="1" showInputMessage="1" showErrorMessage="1" prompt="Enter Tax Rate in cell at right" sqref="F44" xr:uid="{00000000-0002-0000-0000-000019000000}"/>
    <dataValidation allowBlank="1" showInputMessage="1" showErrorMessage="1" prompt="Enter Tax Rate in this cell" sqref="G44" xr:uid="{00000000-0002-0000-0000-00001A000000}"/>
    <dataValidation allowBlank="1" showInputMessage="1" showErrorMessage="1" prompt="Sales Tax amount is automatically calculated in cell at right" sqref="F45" xr:uid="{00000000-0002-0000-0000-00001B000000}"/>
    <dataValidation allowBlank="1" showInputMessage="1" showErrorMessage="1" prompt="Sales Tax amount is automatically calculated in this cell" sqref="G45" xr:uid="{00000000-0002-0000-0000-00001C000000}"/>
    <dataValidation allowBlank="1" showInputMessage="1" showErrorMessage="1" prompt="Enter Other amount in cell at right" sqref="F46" xr:uid="{00000000-0002-0000-0000-00001D000000}"/>
    <dataValidation allowBlank="1" showInputMessage="1" showErrorMessage="1" prompt="Enter Other amount in this cell" sqref="G46" xr:uid="{00000000-0002-0000-0000-00001E000000}"/>
    <dataValidation allowBlank="1" showInputMessage="1" showErrorMessage="1" prompt="Total due is automatically calculated in cell at right" sqref="F47" xr:uid="{00000000-0002-0000-0000-00001F000000}"/>
    <dataValidation allowBlank="1" showInputMessage="1" showErrorMessage="1" prompt="Total due is automatically calculated in this cell" sqref="G47" xr:uid="{00000000-0002-0000-0000-000020000000}"/>
    <dataValidation allowBlank="1" showInputMessage="1" showErrorMessage="1" prompt="Enter signing Date in this cell" sqref="G50" xr:uid="{00000000-0002-0000-0000-000021000000}"/>
    <dataValidation allowBlank="1" showInputMessage="1" showErrorMessage="1" prompt="Enter Proposal conditions in this cell" sqref="D45" xr:uid="{00000000-0002-0000-0000-000022000000}"/>
    <dataValidation allowBlank="1" showInputMessage="1" showErrorMessage="1" prompt="Enter Authorized Representative's signature below" sqref="D49:G49" xr:uid="{00000000-0002-0000-0000-000023000000}"/>
    <dataValidation allowBlank="1" showInputMessage="1" showErrorMessage="1" prompt="Enter Authorized Representative's signature here and signing Date in cell at right" sqref="D50:F50" xr:uid="{00000000-0002-0000-0000-000024000000}"/>
    <dataValidation allowBlank="1" showInputMessage="1" showErrorMessage="1" prompt="Add Company Logo in this cell and customer details in cells below" sqref="B1:B4" xr:uid="{00000000-0002-0000-0000-000025000000}"/>
    <dataValidation allowBlank="1" showInputMessage="1" showErrorMessage="1" prompt="Enter Company Name in this cell" sqref="D2" xr:uid="{00000000-0002-0000-0000-000026000000}"/>
    <dataValidation allowBlank="1" showInputMessage="1" showErrorMessage="1" prompt="Enter Company Phone number in this cell" sqref="D3" xr:uid="{00000000-0002-0000-0000-000027000000}"/>
  </dataValidations>
  <printOptions horizontalCentered="1"/>
  <pageMargins left="0.25" right="0.25" top="0.25" bottom="0.25" header="0" footer="0.25"/>
  <pageSetup scale="61" fitToHeight="0" orientation="portrait" r:id="rId1"/>
  <headerFooter differentFirst="1">
    <oddFooter>Page &amp;P of &amp;N</oddFooter>
  </headerFooter>
  <ignoredErrors>
    <ignoredError sqref="G47" emptyCellReference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TM03843795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HeadingPairs>
  <TitlesOfParts>
    <vt:vector size="21" baseType="lpstr">
      <vt:lpstr>Proposal</vt:lpstr>
      <vt:lpstr>ColumnTitle1</vt:lpstr>
      <vt:lpstr>ColumnTitleRegion1..B6.1</vt:lpstr>
      <vt:lpstr>ColumnTitleRegion10..B24.1</vt:lpstr>
      <vt:lpstr>ColumnTitleRegion11..B26.1</vt:lpstr>
      <vt:lpstr>ColumnTitleRegion12..B28.1</vt:lpstr>
      <vt:lpstr>ColumnTitleRegion13..B30.1</vt:lpstr>
      <vt:lpstr>ColumnTitleRegion14..D33</vt:lpstr>
      <vt:lpstr>ColumnTitleRegion2..B8.1</vt:lpstr>
      <vt:lpstr>ColumnTitleRegion3..B10.1</vt:lpstr>
      <vt:lpstr>ColumnTitleRegion4..B12.1</vt:lpstr>
      <vt:lpstr>ColumnTitleRegion5..B14.1</vt:lpstr>
      <vt:lpstr>ColumnTitleRegion6..B16.1</vt:lpstr>
      <vt:lpstr>ColumnTitleRegion7..B18.1</vt:lpstr>
      <vt:lpstr>ColumnTitleRegion8..B20.1</vt:lpstr>
      <vt:lpstr>ColumnTitleRegion9..B22.1</vt:lpstr>
      <vt:lpstr>Other</vt:lpstr>
      <vt:lpstr>Proposal!Print_Titles</vt:lpstr>
      <vt:lpstr>RowTitleRegion1..G35</vt:lpstr>
      <vt:lpstr>Subtotal</vt:lpstr>
      <vt:lpstr>TaxRate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Brandon Holder</dc:creator>
  <cp:lastModifiedBy>Brandon Holder</cp:lastModifiedBy>
  <cp:lastPrinted>2023-02-17T20:04:35Z</cp:lastPrinted>
  <dcterms:created xsi:type="dcterms:W3CDTF">2017-07-30T18:12:27Z</dcterms:created>
  <dcterms:modified xsi:type="dcterms:W3CDTF">2025-09-16T21:04:42Z</dcterms:modified>
</cp:coreProperties>
</file>